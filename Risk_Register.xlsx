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coring Key &amp;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<sst xmlns="http://schemas.openxmlformats.org/spreadsheetml/2006/main" count="269" uniqueCount="185">
  <si>
    <t xml:space="preserve">CYBERSECURITY RISK REGISTER</t>
  </si>
  <si>
    <t xml:space="preserve">Security Assessment  •  Internal Lab Environment  •  Prepared by Kinan</t>
  </si>
  <si>
    <t xml:space="preserve">Scope: 192.168.56.101 (Metasploitable 2) only  |  Assessor host: Kali (192.168.56.102)  |  Method: Nmap service/version scan + Nmap NSE vulnerability scripts (--script vuln)  |  Date: 07 October 2026</t>
  </si>
  <si>
    <t xml:space="preserve">Risk ID</t>
  </si>
  <si>
    <t xml:space="preserve">Asset</t>
  </si>
  <si>
    <t xml:space="preserve">Vulnerability / Finding</t>
  </si>
  <si>
    <t xml:space="preserve">Description</t>
  </si>
  <si>
    <t xml:space="preserve">Threat / Impact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</si>
  <si>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</si>
  <si>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</si>
  <si>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</si>
  <si>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</si>
  <si>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Control Reference</t>
  </si>
  <si>
    <t xml:space="preserve">Treatment / Recommendation</t>
  </si>
  <si>
    <t xml:space="preserve">Owner</t>
  </si>
  <si>
    <t xml:space="preserve">Status</t>
  </si>
  <si>
    <t xml:space="preserve">CVE / Evidence</t>
  </si>
  <si>
    <t xml:space="preserve">R-001</t>
  </si>
  <si>
    <t xml:space="preserve">Metasploitable (192.168.56.101)</t>
  </si>
  <si>
    <t xml:space="preserve">Backdoor root shell (port 1524/bindshell)</t>
  </si>
  <si>
    <t xml:space="preserve">An open bind shell provides a direct, unauthenticated root command shell to anyone who connects.</t>
  </si>
  <si>
    <t xml:space="preserve">Immediate, full root compromise of the host with no credentials required.</t>
  </si>
  <si>
    <t xml:space="preserve">ISO 27001 A.8.9 / NIST PR.AC-4</t>
  </si>
  <si>
    <t xml:space="preserve">Remove the backdoor; rebuild host from a trusted image; restrict inbound access.</t>
  </si>
  <si>
    <t xml:space="preserve">System Administrator</t>
  </si>
  <si>
    <t xml:space="preserve">Open</t>
  </si>
  <si>
    <t xml:space="preserve">Not re-tested by NSE; based on exposed bindshell service (Metasploitable root shell).</t>
  </si>
  <si>
    <t xml:space="preserve">R-002</t>
  </si>
  <si>
    <t xml:space="preserve">vsftpd 2.3.4 with known backdoor (port 21)</t>
  </si>
  <si>
    <t xml:space="preserve">This exact FTP version shipped with a malicious backdoor (CVE-2011-2523) opening a root shell.</t>
  </si>
  <si>
    <t xml:space="preserve">Remote attacker gains root shell via a publicly documented exploit.</t>
  </si>
  <si>
    <t xml:space="preserve">ISO 27001 A.8.8 / NIST ID.RA-1</t>
  </si>
  <si>
    <t xml:space="preserve">Upgrade/replace FTP service; apply patch management baseline.</t>
  </si>
  <si>
    <t xml:space="preserve">CVE-2011-2523 (vsftpd 2.3.4 backdoor). Version-based; NSE did not re-confirm.</t>
  </si>
  <si>
    <t xml:space="preserve">R-003</t>
  </si>
  <si>
    <t xml:space="preserve">Telnet service exposed (port 23)</t>
  </si>
  <si>
    <t xml:space="preserve">Telnet transmits all data, including credentials, in cleartext.</t>
  </si>
  <si>
    <t xml:space="preserve">Network eavesdropper captures admin login and gains full access.</t>
  </si>
  <si>
    <t xml:space="preserve">ISO 27001 A.8.24 / NIST PR.DS-2</t>
  </si>
  <si>
    <t xml:space="preserve">Disable Telnet; enforce SSH for remote administration.</t>
  </si>
  <si>
    <t xml:space="preserve">Confirmed open (Nmap). Cleartext protocol by design.</t>
  </si>
  <si>
    <t xml:space="preserve">R-004</t>
  </si>
  <si>
    <t xml:space="preserve">r-services: rlogin/rsh/rexec (ports 512-514)</t>
  </si>
  <si>
    <t xml:space="preserve">Legacy 'r' services provide remote access with weak, cleartext, trust-based authentication.</t>
  </si>
  <si>
    <t xml:space="preserve">Trivial remote access and credential interception.</t>
  </si>
  <si>
    <t xml:space="preserve">ISO 27001 A.8.24 / NIST PR.AC-7</t>
  </si>
  <si>
    <t xml:space="preserve">Disable rsh/rlogin/rexec; replace with SSH.</t>
  </si>
  <si>
    <t xml:space="preserve">Confirmed open (Nmap).</t>
  </si>
  <si>
    <t xml:space="preserve">R-005</t>
  </si>
  <si>
    <t xml:space="preserve">FTP services in cleartext (ports 21, 2121)</t>
  </si>
  <si>
    <t xml:space="preserve">File transfer protocol sends credentials and data unencrypted.</t>
  </si>
  <si>
    <t xml:space="preserve">Interception of files and login credentials in transit.</t>
  </si>
  <si>
    <t xml:space="preserve">Replace with SFTP/FTPS; disable anonymous access.</t>
  </si>
  <si>
    <t xml:space="preserve">R-006</t>
  </si>
  <si>
    <t xml:space="preserve">distccd remote compiler exposed (port 3632)</t>
  </si>
  <si>
    <t xml:space="preserve">Distributed compiler daemon allows remote command execution (CVE-2004-2687).</t>
  </si>
  <si>
    <t xml:space="preserve">Remote code execution leading to host compromise.</t>
  </si>
  <si>
    <t xml:space="preserve">ISO 27001 A.8.9 / NIST PR.IP-1</t>
  </si>
  <si>
    <t xml:space="preserve">Disable distccd unless required; restrict to trusted hosts only.</t>
  </si>
  <si>
    <t xml:space="preserve">R-007</t>
  </si>
  <si>
    <t xml:space="preserve">UnrealIRCd backdoor (ports 6667, 6697)</t>
  </si>
  <si>
    <t xml:space="preserve">The distributed UnrealIRCd package contained a backdoor (CVE-2010-2075).</t>
  </si>
  <si>
    <t xml:space="preserve">Remote code execution via a known public exploit.</t>
  </si>
  <si>
    <t xml:space="preserve">Remove/upgrade IRC daemon; verify software integrity on install.</t>
  </si>
  <si>
    <t xml:space="preserve">CVE-2010-2075 (UnrealIRCd backdoor). Version-based; NSE did not re-confirm.</t>
  </si>
  <si>
    <t xml:space="preserve">R-008</t>
  </si>
  <si>
    <t xml:space="preserve">MySQL database exposed to network (port 3306)</t>
  </si>
  <si>
    <t xml:space="preserve">Database engine reachable over the network, often with weak or default credentials.</t>
  </si>
  <si>
    <t xml:space="preserve">Unauthorized data access, modification, or exfiltration.</t>
  </si>
  <si>
    <t xml:space="preserve">ISO 27001 A.8.3 / NIST PR.AC-4</t>
  </si>
  <si>
    <t xml:space="preserve">Bind to localhost or restrict by firewall; enforce strong credentials.</t>
  </si>
  <si>
    <t xml:space="preserve">Database Administrator</t>
  </si>
  <si>
    <t xml:space="preserve">R-009</t>
  </si>
  <si>
    <t xml:space="preserve">PostgreSQL database exposed (port 5432)</t>
  </si>
  <si>
    <t xml:space="preserve">Database engine reachable over the network with potentially weak credentials.</t>
  </si>
  <si>
    <t xml:space="preserve">Restrict network access; enforce strong authentication.</t>
  </si>
  <si>
    <t xml:space="preserve">Confirmed open (Nmap). CCS Injection CVE-2014-0224 (see R-018).</t>
  </si>
  <si>
    <t xml:space="preserve">R-010</t>
  </si>
  <si>
    <t xml:space="preserve">SMB/Samba file sharing exposed (ports 139, 445)</t>
  </si>
  <si>
    <t xml:space="preserve">Outdated Samba shares reachable on the network enable lateral movement.</t>
  </si>
  <si>
    <t xml:space="preserve">Unauthorized file access and potential remote code execution.</t>
  </si>
  <si>
    <t xml:space="preserve">ISO 27001 A.8.20 / NIST PR.AC-5</t>
  </si>
  <si>
    <t xml:space="preserve">Patch Samba; restrict shares; apply least-privilege access.</t>
  </si>
  <si>
    <t xml:space="preserve">Confirmed open (Nmap). MS10-054 / MS10-061: not vulnerable (NSE).</t>
  </si>
  <si>
    <t xml:space="preserve">R-011</t>
  </si>
  <si>
    <t xml:space="preserve">NFS export reachable (port 2049)</t>
  </si>
  <si>
    <t xml:space="preserve">Network file system export may allow mounting of shares without strong controls.</t>
  </si>
  <si>
    <t xml:space="preserve">Unauthorized read/write access to shared files.</t>
  </si>
  <si>
    <t xml:space="preserve">Restrict exports to trusted hosts; enforce authentication.</t>
  </si>
  <si>
    <t xml:space="preserve">R-012</t>
  </si>
  <si>
    <t xml:space="preserve">VNC remote access, protocol 3.3 (port 5900)</t>
  </si>
  <si>
    <t xml:space="preserve">Legacy VNC protocol uses weak authentication and no strong encryption.</t>
  </si>
  <si>
    <t xml:space="preserve">Remote desktop takeover via weak/brute-forced authentication.</t>
  </si>
  <si>
    <t xml:space="preserve">ISO 27001 A.8.5 / NIST PR.AC-7</t>
  </si>
  <si>
    <t xml:space="preserve">Disable or tunnel VNC over SSH; enforce strong authentication.</t>
  </si>
  <si>
    <t xml:space="preserve">Confirmed open (Nmap), protocol 3.3.</t>
  </si>
  <si>
    <t xml:space="preserve">R-013</t>
  </si>
  <si>
    <t xml:space="preserve">End-of-life OS: Linux kernel 2.6.x</t>
  </si>
  <si>
    <t xml:space="preserve">The host runs an unsupported, end-of-life operating system no longer receiving security patches.</t>
  </si>
  <si>
    <t xml:space="preserve">Accumulating unpatched vulnerabilities across the entire system.</t>
  </si>
  <si>
    <t xml:space="preserve">ISO 27001 A.8.8 / NIST ID.AM-2</t>
  </si>
  <si>
    <t xml:space="preserve">Decommission or rebuild on a supported, patched OS.</t>
  </si>
  <si>
    <t xml:space="preserve">IT Management</t>
  </si>
  <si>
    <t xml:space="preserve">Confirmed via OS detection (Nmap): Linux 2.6.x.</t>
  </si>
  <si>
    <t xml:space="preserve">R-014</t>
  </si>
  <si>
    <t xml:space="preserve">rpcbind / RPC services exposed (port 111)</t>
  </si>
  <si>
    <t xml:space="preserve">RPC portmapper exposes service enumeration useful for targeting further attacks.</t>
  </si>
  <si>
    <t xml:space="preserve">Reconnaissance aiding exploitation of RPC-based services.</t>
  </si>
  <si>
    <t xml:space="preserve">Restrict RPC to trusted hosts; disable if unused.</t>
  </si>
  <si>
    <t xml:space="preserve">R-015</t>
  </si>
  <si>
    <t xml:space="preserve">Java RMI registry RCE (port 1099)</t>
  </si>
  <si>
    <t xml:space="preserve">RMI registry default configuration allows loading classes from remote URLs, enabling remote code execution.</t>
  </si>
  <si>
    <t xml:space="preserve">Unauthenticated remote code execution; full host compromise.</t>
  </si>
  <si>
    <t xml:space="preserve">Disable/secure RMI; restrict to trusted hosts; patch.</t>
  </si>
  <si>
    <t xml:space="preserve">NSE rmi-vuln-classloader: VULNERABLE.</t>
  </si>
  <si>
    <t xml:space="preserve">R-016</t>
  </si>
  <si>
    <t xml:space="preserve">TLS POODLE – SSLv3 (SMTP/other)</t>
  </si>
  <si>
    <t xml:space="preserve">SSLv3 with CBC padding allows a man-in-the-middle to recover cleartext (POODLE).</t>
  </si>
  <si>
    <t xml:space="preserve">Interception/decryption of encrypted traffic.</t>
  </si>
  <si>
    <t xml:space="preserve">Disable SSLv3; enforce modern TLS.</t>
  </si>
  <si>
    <t xml:space="preserve">CVE-2014-3566. NSE ssl-poodle: VULNERABLE.</t>
  </si>
  <si>
    <t xml:space="preserve">R-017</t>
  </si>
  <si>
    <t xml:space="preserve">TLS Logjam / weak DH (export ciphers)</t>
  </si>
  <si>
    <t xml:space="preserve">TLS supports weak/export-grade Diffie-Hellman, allowing downgrade and decryption (Logjam).</t>
  </si>
  <si>
    <t xml:space="preserve">Downgrade attack enabling traffic decryption.</t>
  </si>
  <si>
    <t xml:space="preserve">Disable export ciphers; use 2048-bit+ DH; modern TLS.</t>
  </si>
  <si>
    <t xml:space="preserve">CVE-2015-4000. NSE ssl-dh-params: VULNERABLE.</t>
  </si>
  <si>
    <t xml:space="preserve">R-018</t>
  </si>
  <si>
    <t xml:space="preserve">OpenSSL CCS Injection (PostgreSQL/TLS)</t>
  </si>
  <si>
    <t xml:space="preserve">OpenSSL improperly restricts ChangeCipherSpec, enabling MitM session hijacking.</t>
  </si>
  <si>
    <t xml:space="preserve">Interception or tampering of TLS sessions.</t>
  </si>
  <si>
    <t xml:space="preserve">Patch/upgrade OpenSSL.</t>
  </si>
  <si>
    <t xml:space="preserve">CVE-2014-0224. NSE ssl-ccs-injection: VULNERABLE (High).</t>
  </si>
  <si>
    <t xml:space="preserve">R-019</t>
  </si>
  <si>
    <t xml:space="preserve">Apache Slowloris DoS (port 80)</t>
  </si>
  <si>
    <t xml:space="preserve">Apache httpd is susceptible to Slowloris, exhausting connections to cause denial of service.</t>
  </si>
  <si>
    <t xml:space="preserve">Web service outage from a single low-bandwidth attacker.</t>
  </si>
  <si>
    <t xml:space="preserve">ISO 27001 A.8.6 / NIST PR.IP-1</t>
  </si>
  <si>
    <t xml:space="preserve">Apply mod_reqtimeout/limits; upgrade Apache.</t>
  </si>
  <si>
    <t xml:space="preserve">CVE-2007-6750. NSE http-slowloris-check: LIKELY VULNERABLE.</t>
  </si>
  <si>
    <t xml:space="preserve">R-020</t>
  </si>
  <si>
    <t xml:space="preserve">Web app info exposure (phpinfo, phpMyAdmin, dir listing)</t>
  </si>
  <si>
    <t xml:space="preserve">Web root exposes phpinfo.php, phpMyAdmin, directory listings and training apps revealing system info.</t>
  </si>
  <si>
    <t xml:space="preserve">Information disclosure aiding targeted attacks.</t>
  </si>
  <si>
    <t xml:space="preserve">Remove phpinfo; restrict admin tools; disable directory listing.</t>
  </si>
  <si>
    <t xml:space="preserve">Web Administrator</t>
  </si>
  <si>
    <t xml:space="preserve">NSE http-enum: phpinfo.php, /phpMyAdmin/, /doc/, /icons/.</t>
  </si>
  <si>
    <t xml:space="preserve">R-021</t>
  </si>
  <si>
    <t xml:space="preserve">HTTP TRACE method enabled (port 80)</t>
  </si>
  <si>
    <t xml:space="preserve">The web server allows the HTTP TRACE method, usable in cross-site tracing attacks.</t>
  </si>
  <si>
    <t xml:space="preserve">Assists credential/cookie theft via XST.</t>
  </si>
  <si>
    <t xml:space="preserve">Disable TRACE on the web server.</t>
  </si>
  <si>
    <t xml:space="preserve">NSE http-trace: TRACE is enabled.</t>
  </si>
  <si>
    <t xml:space="preserve">SCORING KEY &amp; RISK SUMMARY</t>
  </si>
  <si>
    <t xml:space="preserve">Likelihood scale</t>
  </si>
  <si>
    <t xml:space="preserve">Findings by level</t>
  </si>
  <si>
    <t xml:space="preserve">1</t>
  </si>
  <si>
    <t xml:space="preserve">Rare — very unlikely to occur</t>
  </si>
  <si>
    <t xml:space="preserve">Level</t>
  </si>
  <si>
    <t xml:space="preserve">Count</t>
  </si>
  <si>
    <t xml:space="preserve">2</t>
  </si>
  <si>
    <t xml:space="preserve">Unlikely</t>
  </si>
  <si>
    <t xml:space="preserve">Critical</t>
  </si>
  <si>
    <t xml:space="preserve">3</t>
  </si>
  <si>
    <t xml:space="preserve">Possible</t>
  </si>
  <si>
    <t xml:space="preserve">High</t>
  </si>
  <si>
    <t xml:space="preserve">4</t>
  </si>
  <si>
    <t xml:space="preserve">Likely</t>
  </si>
  <si>
    <t xml:space="preserve">Medium</t>
  </si>
  <si>
    <t xml:space="preserve">5</t>
  </si>
  <si>
    <t xml:space="preserve">Almost certain — expected to occur</t>
  </si>
  <si>
    <t xml:space="preserve">Low</t>
  </si>
  <si>
    <t xml:space="preserve">Total</t>
  </si>
  <si>
    <t xml:space="preserve">Impact scale</t>
  </si>
  <si>
    <t xml:space="preserve">Negligible — minimal effect</t>
  </si>
  <si>
    <t xml:space="preserve">Minor</t>
  </si>
  <si>
    <t xml:space="preserve">Moderate</t>
  </si>
  <si>
    <t xml:space="preserve">Major</t>
  </si>
  <si>
    <t xml:space="preserve">Severe — critical business/data loss</t>
  </si>
  <si>
    <t xml:space="preserve">Risk level bands  (Score = Likelihood × Impact)</t>
  </si>
  <si>
    <t xml:space="preserve">Score range</t>
  </si>
  <si>
    <t xml:space="preserve">1 – 4</t>
  </si>
  <si>
    <t xml:space="preserve">5 – 9</t>
  </si>
  <si>
    <t xml:space="preserve">10 – 15</t>
  </si>
  <si>
    <t xml:space="preserve">16 – 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</si>
</sst>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4450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3B6EA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747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2E3F66"/>
      </patternFill>
    </fill>
    <fill>
      <patternFill patternType="solid">
        <fgColor rgb="FF2E3F66"/>
        <bgColor rgb="FF44506B"/>
      </patternFill>
    </fill>
    <fill>
      <patternFill patternType="solid">
        <fgColor rgb="FFF3F5F9"/>
        <bgColor rgb="FFFFFFFF"/>
      </patternFill>
    </fill>
    <fill>
      <patternFill patternType="solid">
        <fgColor rgb="FF3B6EA5"/>
        <bgColor rgb="FF44506B"/>
      </patternFill>
    </fill>
    <fill>
      <patternFill patternType="solid">
        <fgColor rgb="FFD9DEE8"/>
        <bgColor rgb="FFC6EFCE"/>
      </patternFill>
    </fill>
    <fill>
      <patternFill patternType="solid">
        <fgColor rgb="FFFFC7CE"/>
        <bgColor rgb="FFFFC79C"/>
      </patternFill>
    </fill>
    <fill>
      <patternFill patternType="solid">
        <fgColor rgb="FFFFC79C"/>
        <bgColor rgb="FFFFC7CE"/>
      </patternFill>
    </fill>
    <fill>
      <patternFill patternType="solid">
        <fgColor rgb="FFFFEB9C"/>
        <bgColor rgb="FFFFC79C"/>
      </patternFill>
    </fill>
    <fill>
      <patternFill patternType="solid">
        <fgColor rgb="FFC6EFCE"/>
        <bgColor rgb="FFD9DE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FCC"/>
      </left>
      <right style="thin">
        <color rgb="FFB7BFCC"/>
      </right>
      <top style="thin">
        <color rgb="FFB7BFCC"/>
      </top>
      <bottom style="thin">
        <color rgb="FFB7BF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74706"/>
        <sz val="9"/>
      </font>
      <fill>
        <patternFill>
          <bgColor rgb="FFFFC79C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FCC"/>
      <rgbColor rgb="FF808080"/>
      <rgbColor rgb="FF9999FF"/>
      <rgbColor rgb="FF993366"/>
      <rgbColor rgb="FFF3F5F9"/>
      <rgbColor rgb="FFCCFFFF"/>
      <rgbColor rgb="FF660066"/>
      <rgbColor rgb="FFFF8080"/>
      <rgbColor rgb="FF0066CC"/>
      <rgbColor rgb="FFD9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C79C"/>
      <rgbColor rgb="FF3366FF"/>
      <rgbColor rgb="FF33CCCC"/>
      <rgbColor rgb="FF99CC00"/>
      <rgbColor rgb="FFFFCC00"/>
      <rgbColor rgb="FFFF9900"/>
      <rgbColor rgb="FFFF6600"/>
      <rgbColor rgb="FF3B6EA5"/>
      <rgbColor rgb="FF969696"/>
      <rgbColor rgb="FF003366"/>
      <rgbColor rgb="FF339966"/>
      <rgbColor rgb="FF003300"/>
      <rgbColor rgb="FF44506B"/>
      <rgbColor rgb="FF974706"/>
      <rgbColor rgb="FF993366"/>
      <rgbColor rgb="FF2E3F66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42"/>
    <col collapsed="false" customWidth="true" hidden="false" outlineLevel="0" max="5" min="5" style="1" width="38"/>
    <col collapsed="false" customWidth="true" hidden="false" outlineLevel="0" max="6" min="6" style="1" width="11"/>
    <col collapsed="false" customWidth="true" hidden="false" outlineLevel="0" max="8" min="7" style="1" width="10"/>
    <col collapsed="false" customWidth="true" hidden="false" outlineLevel="0" max="9" min="9" style="1" width="13"/>
    <col collapsed="false" customWidth="true" hidden="false" outlineLevel="0" max="10" min="10" style="1" width="24"/>
    <col collapsed="false" customWidth="true" hidden="false" outlineLevel="0" max="11" min="11" style="1" width="38"/>
    <col collapsed="false" customWidth="true" hidden="false" outlineLevel="0" max="12" min="12" style="1" width="18"/>
    <col collapsed="false" customWidth="true" hidden="false" outlineLevel="0" max="13" min="13" style="1" width="12"/>
    <col collapsed="false" customWidth="true" hidden="false" outlineLevel="0" max="14" min="14" style="1" width="3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45.75" hidden="false" customHeight="tru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6" t="n">
        <v>5</v>
      </c>
      <c r="G6" s="6" t="n">
        <v>5</v>
      </c>
      <c r="H6" s="8" t="n">
        <f aca="false">F6*G6</f>
        <v>25</v>
      </c>
      <c r="I6" s="6" t="str">
        <f aca="false">IF(H6="","",IF(H6&gt;=16,"Critical",IF(H6&gt;=10,"High",IF(H6&gt;=5,"Medium","Low"))))</f>
        <v>Critical</v>
      </c>
      <c r="J6" s="7" t="s">
        <v>22</v>
      </c>
      <c r="K6" s="7" t="s">
        <v>23</v>
      </c>
      <c r="L6" s="7" t="s">
        <v>24</v>
      </c>
      <c r="M6" s="6" t="s">
        <v>25</v>
      </c>
      <c r="N6" s="9" t="s">
        <v>26</v>
      </c>
    </row>
    <row r="7" customFormat="false" ht="45.75" hidden="false" customHeight="true" outlineLevel="0" collapsed="false">
      <c r="A7" s="10" t="s">
        <v>27</v>
      </c>
      <c r="B7" s="11" t="s">
        <v>18</v>
      </c>
      <c r="C7" s="11" t="s">
        <v>28</v>
      </c>
      <c r="D7" s="11" t="s">
        <v>29</v>
      </c>
      <c r="E7" s="11" t="s">
        <v>30</v>
      </c>
      <c r="F7" s="10" t="n">
        <v>5</v>
      </c>
      <c r="G7" s="10" t="n">
        <v>5</v>
      </c>
      <c r="H7" s="12" t="n">
        <f aca="false">F7*G7</f>
        <v>25</v>
      </c>
      <c r="I7" s="10" t="str">
        <f aca="false">IF(H7="","",IF(H7&gt;=16,"Critical",IF(H7&gt;=10,"High",IF(H7&gt;=5,"Medium","Low"))))</f>
        <v>Critical</v>
      </c>
      <c r="J7" s="11" t="s">
        <v>31</v>
      </c>
      <c r="K7" s="11" t="s">
        <v>32</v>
      </c>
      <c r="L7" s="11" t="s">
        <v>24</v>
      </c>
      <c r="M7" s="10" t="s">
        <v>25</v>
      </c>
      <c r="N7" s="13" t="s">
        <v>33</v>
      </c>
    </row>
    <row r="8" customFormat="false" ht="45.75" hidden="false" customHeight="true" outlineLevel="0" collapsed="false">
      <c r="A8" s="6" t="s">
        <v>34</v>
      </c>
      <c r="B8" s="7" t="s">
        <v>18</v>
      </c>
      <c r="C8" s="7" t="s">
        <v>35</v>
      </c>
      <c r="D8" s="7" t="s">
        <v>36</v>
      </c>
      <c r="E8" s="7" t="s">
        <v>37</v>
      </c>
      <c r="F8" s="6" t="n">
        <v>5</v>
      </c>
      <c r="G8" s="6" t="n">
        <v>4</v>
      </c>
      <c r="H8" s="8" t="n">
        <f aca="false">F8*G8</f>
        <v>20</v>
      </c>
      <c r="I8" s="6" t="str">
        <f aca="false">IF(H8="","",IF(H8&gt;=16,"Critical",IF(H8&gt;=10,"High",IF(H8&gt;=5,"Medium","Low"))))</f>
        <v>Critical</v>
      </c>
      <c r="J8" s="7" t="s">
        <v>38</v>
      </c>
      <c r="K8" s="7" t="s">
        <v>39</v>
      </c>
      <c r="L8" s="7" t="s">
        <v>24</v>
      </c>
      <c r="M8" s="6" t="s">
        <v>25</v>
      </c>
      <c r="N8" s="9" t="s">
        <v>40</v>
      </c>
    </row>
    <row r="9" customFormat="false" ht="45.75" hidden="false" customHeight="true" outlineLevel="0" collapsed="false">
      <c r="A9" s="10" t="s">
        <v>41</v>
      </c>
      <c r="B9" s="11" t="s">
        <v>18</v>
      </c>
      <c r="C9" s="11" t="s">
        <v>42</v>
      </c>
      <c r="D9" s="11" t="s">
        <v>43</v>
      </c>
      <c r="E9" s="11" t="s">
        <v>44</v>
      </c>
      <c r="F9" s="10" t="n">
        <v>4</v>
      </c>
      <c r="G9" s="10" t="n">
        <v>4</v>
      </c>
      <c r="H9" s="12" t="n">
        <f aca="false">F9*G9</f>
        <v>16</v>
      </c>
      <c r="I9" s="10" t="str">
        <f aca="false">IF(H9="","",IF(H9&gt;=16,"Critical",IF(H9&gt;=10,"High",IF(H9&gt;=5,"Medium","Low"))))</f>
        <v>Critical</v>
      </c>
      <c r="J9" s="11" t="s">
        <v>45</v>
      </c>
      <c r="K9" s="11" t="s">
        <v>46</v>
      </c>
      <c r="L9" s="11" t="s">
        <v>24</v>
      </c>
      <c r="M9" s="10" t="s">
        <v>25</v>
      </c>
      <c r="N9" s="13" t="s">
        <v>47</v>
      </c>
    </row>
    <row r="10" customFormat="false" ht="45.75" hidden="false" customHeight="true" outlineLevel="0" collapsed="false">
      <c r="A10" s="6" t="s">
        <v>48</v>
      </c>
      <c r="B10" s="7" t="s">
        <v>18</v>
      </c>
      <c r="C10" s="7" t="s">
        <v>49</v>
      </c>
      <c r="D10" s="7" t="s">
        <v>50</v>
      </c>
      <c r="E10" s="7" t="s">
        <v>51</v>
      </c>
      <c r="F10" s="6" t="n">
        <v>4</v>
      </c>
      <c r="G10" s="6" t="n">
        <v>3</v>
      </c>
      <c r="H10" s="8" t="n">
        <f aca="false">F10*G10</f>
        <v>12</v>
      </c>
      <c r="I10" s="6" t="str">
        <f aca="false">IF(H10="","",IF(H10&gt;=16,"Critical",IF(H10&gt;=10,"High",IF(H10&gt;=5,"Medium","Low"))))</f>
        <v>High</v>
      </c>
      <c r="J10" s="7" t="s">
        <v>38</v>
      </c>
      <c r="K10" s="7" t="s">
        <v>52</v>
      </c>
      <c r="L10" s="7" t="s">
        <v>24</v>
      </c>
      <c r="M10" s="6" t="s">
        <v>25</v>
      </c>
      <c r="N10" s="9" t="s">
        <v>47</v>
      </c>
    </row>
    <row r="11" customFormat="false" ht="45.75" hidden="false" customHeight="true" outlineLevel="0" collapsed="false">
      <c r="A11" s="10" t="s">
        <v>53</v>
      </c>
      <c r="B11" s="11" t="s">
        <v>18</v>
      </c>
      <c r="C11" s="11" t="s">
        <v>54</v>
      </c>
      <c r="D11" s="11" t="s">
        <v>55</v>
      </c>
      <c r="E11" s="11" t="s">
        <v>56</v>
      </c>
      <c r="F11" s="10" t="n">
        <v>4</v>
      </c>
      <c r="G11" s="10" t="n">
        <v>5</v>
      </c>
      <c r="H11" s="12" t="n">
        <f aca="false">F11*G11</f>
        <v>20</v>
      </c>
      <c r="I11" s="10" t="str">
        <f aca="false">IF(H11="","",IF(H11&gt;=16,"Critical",IF(H11&gt;=10,"High",IF(H11&gt;=5,"Medium","Low"))))</f>
        <v>Critical</v>
      </c>
      <c r="J11" s="11" t="s">
        <v>57</v>
      </c>
      <c r="K11" s="11" t="s">
        <v>58</v>
      </c>
      <c r="L11" s="11" t="s">
        <v>24</v>
      </c>
      <c r="M11" s="10" t="s">
        <v>25</v>
      </c>
      <c r="N11" s="13" t="s">
        <v>47</v>
      </c>
    </row>
    <row r="12" customFormat="false" ht="45.75" hidden="false" customHeight="true" outlineLevel="0" collapsed="false">
      <c r="A12" s="6" t="s">
        <v>59</v>
      </c>
      <c r="B12" s="7" t="s">
        <v>18</v>
      </c>
      <c r="C12" s="7" t="s">
        <v>60</v>
      </c>
      <c r="D12" s="7" t="s">
        <v>61</v>
      </c>
      <c r="E12" s="7" t="s">
        <v>62</v>
      </c>
      <c r="F12" s="6" t="n">
        <v>4</v>
      </c>
      <c r="G12" s="6" t="n">
        <v>5</v>
      </c>
      <c r="H12" s="8" t="n">
        <f aca="false">F12*G12</f>
        <v>20</v>
      </c>
      <c r="I12" s="6" t="str">
        <f aca="false">IF(H12="","",IF(H12&gt;=16,"Critical",IF(H12&gt;=10,"High",IF(H12&gt;=5,"Medium","Low"))))</f>
        <v>Critical</v>
      </c>
      <c r="J12" s="7" t="s">
        <v>31</v>
      </c>
      <c r="K12" s="7" t="s">
        <v>63</v>
      </c>
      <c r="L12" s="7" t="s">
        <v>24</v>
      </c>
      <c r="M12" s="6" t="s">
        <v>25</v>
      </c>
      <c r="N12" s="9" t="s">
        <v>64</v>
      </c>
    </row>
    <row r="13" customFormat="false" ht="45.75" hidden="false" customHeight="true" outlineLevel="0" collapsed="false">
      <c r="A13" s="10" t="s">
        <v>65</v>
      </c>
      <c r="B13" s="11" t="s">
        <v>18</v>
      </c>
      <c r="C13" s="11" t="s">
        <v>66</v>
      </c>
      <c r="D13" s="11" t="s">
        <v>67</v>
      </c>
      <c r="E13" s="11" t="s">
        <v>68</v>
      </c>
      <c r="F13" s="10" t="n">
        <v>4</v>
      </c>
      <c r="G13" s="10" t="n">
        <v>4</v>
      </c>
      <c r="H13" s="12" t="n">
        <f aca="false">F13*G13</f>
        <v>16</v>
      </c>
      <c r="I13" s="10" t="str">
        <f aca="false">IF(H13="","",IF(H13&gt;=16,"Critical",IF(H13&gt;=10,"High",IF(H13&gt;=5,"Medium","Low"))))</f>
        <v>Critical</v>
      </c>
      <c r="J13" s="11" t="s">
        <v>69</v>
      </c>
      <c r="K13" s="11" t="s">
        <v>70</v>
      </c>
      <c r="L13" s="11" t="s">
        <v>71</v>
      </c>
      <c r="M13" s="10" t="s">
        <v>25</v>
      </c>
      <c r="N13" s="13" t="s">
        <v>47</v>
      </c>
    </row>
    <row r="14" customFormat="false" ht="45.75" hidden="false" customHeight="true" outlineLevel="0" collapsed="false">
      <c r="A14" s="6" t="s">
        <v>72</v>
      </c>
      <c r="B14" s="7" t="s">
        <v>18</v>
      </c>
      <c r="C14" s="7" t="s">
        <v>73</v>
      </c>
      <c r="D14" s="7" t="s">
        <v>74</v>
      </c>
      <c r="E14" s="7" t="s">
        <v>68</v>
      </c>
      <c r="F14" s="6" t="n">
        <v>4</v>
      </c>
      <c r="G14" s="6" t="n">
        <v>4</v>
      </c>
      <c r="H14" s="8" t="n">
        <f aca="false">F14*G14</f>
        <v>16</v>
      </c>
      <c r="I14" s="6" t="str">
        <f aca="false">IF(H14="","",IF(H14&gt;=16,"Critical",IF(H14&gt;=10,"High",IF(H14&gt;=5,"Medium","Low"))))</f>
        <v>Critical</v>
      </c>
      <c r="J14" s="7" t="s">
        <v>69</v>
      </c>
      <c r="K14" s="7" t="s">
        <v>75</v>
      </c>
      <c r="L14" s="7" t="s">
        <v>71</v>
      </c>
      <c r="M14" s="6" t="s">
        <v>25</v>
      </c>
      <c r="N14" s="9" t="s">
        <v>76</v>
      </c>
    </row>
    <row r="15" customFormat="false" ht="45.75" hidden="false" customHeight="true" outlineLevel="0" collapsed="false">
      <c r="A15" s="10" t="s">
        <v>77</v>
      </c>
      <c r="B15" s="11" t="s">
        <v>18</v>
      </c>
      <c r="C15" s="11" t="s">
        <v>78</v>
      </c>
      <c r="D15" s="11" t="s">
        <v>79</v>
      </c>
      <c r="E15" s="11" t="s">
        <v>80</v>
      </c>
      <c r="F15" s="10" t="n">
        <v>4</v>
      </c>
      <c r="G15" s="10" t="n">
        <v>4</v>
      </c>
      <c r="H15" s="12" t="n">
        <f aca="false">F15*G15</f>
        <v>16</v>
      </c>
      <c r="I15" s="10" t="str">
        <f aca="false">IF(H15="","",IF(H15&gt;=16,"Critical",IF(H15&gt;=10,"High",IF(H15&gt;=5,"Medium","Low"))))</f>
        <v>Critical</v>
      </c>
      <c r="J15" s="11" t="s">
        <v>81</v>
      </c>
      <c r="K15" s="11" t="s">
        <v>82</v>
      </c>
      <c r="L15" s="11" t="s">
        <v>24</v>
      </c>
      <c r="M15" s="10" t="s">
        <v>25</v>
      </c>
      <c r="N15" s="13" t="s">
        <v>83</v>
      </c>
    </row>
    <row r="16" customFormat="false" ht="45.75" hidden="false" customHeight="true" outlineLevel="0" collapsed="false">
      <c r="A16" s="6" t="s">
        <v>84</v>
      </c>
      <c r="B16" s="7" t="s">
        <v>18</v>
      </c>
      <c r="C16" s="7" t="s">
        <v>85</v>
      </c>
      <c r="D16" s="7" t="s">
        <v>86</v>
      </c>
      <c r="E16" s="7" t="s">
        <v>87</v>
      </c>
      <c r="F16" s="6" t="n">
        <v>3</v>
      </c>
      <c r="G16" s="6" t="n">
        <v>4</v>
      </c>
      <c r="H16" s="8" t="n">
        <f aca="false">F16*G16</f>
        <v>12</v>
      </c>
      <c r="I16" s="6" t="str">
        <f aca="false">IF(H16="","",IF(H16&gt;=16,"Critical",IF(H16&gt;=10,"High",IF(H16&gt;=5,"Medium","Low"))))</f>
        <v>High</v>
      </c>
      <c r="J16" s="7" t="s">
        <v>81</v>
      </c>
      <c r="K16" s="7" t="s">
        <v>88</v>
      </c>
      <c r="L16" s="7" t="s">
        <v>24</v>
      </c>
      <c r="M16" s="6" t="s">
        <v>25</v>
      </c>
      <c r="N16" s="9" t="s">
        <v>47</v>
      </c>
    </row>
    <row r="17" customFormat="false" ht="45.75" hidden="false" customHeight="true" outlineLevel="0" collapsed="false">
      <c r="A17" s="10" t="s">
        <v>89</v>
      </c>
      <c r="B17" s="11" t="s">
        <v>18</v>
      </c>
      <c r="C17" s="11" t="s">
        <v>90</v>
      </c>
      <c r="D17" s="11" t="s">
        <v>91</v>
      </c>
      <c r="E17" s="11" t="s">
        <v>92</v>
      </c>
      <c r="F17" s="10" t="n">
        <v>3</v>
      </c>
      <c r="G17" s="10" t="n">
        <v>4</v>
      </c>
      <c r="H17" s="12" t="n">
        <f aca="false">F17*G17</f>
        <v>12</v>
      </c>
      <c r="I17" s="10" t="str">
        <f aca="false">IF(H17="","",IF(H17&gt;=16,"Critical",IF(H17&gt;=10,"High",IF(H17&gt;=5,"Medium","Low"))))</f>
        <v>High</v>
      </c>
      <c r="J17" s="11" t="s">
        <v>93</v>
      </c>
      <c r="K17" s="11" t="s">
        <v>94</v>
      </c>
      <c r="L17" s="11" t="s">
        <v>24</v>
      </c>
      <c r="M17" s="10" t="s">
        <v>25</v>
      </c>
      <c r="N17" s="13" t="s">
        <v>95</v>
      </c>
    </row>
    <row r="18" customFormat="false" ht="45.75" hidden="false" customHeight="true" outlineLevel="0" collapsed="false">
      <c r="A18" s="6" t="s">
        <v>96</v>
      </c>
      <c r="B18" s="7" t="s">
        <v>18</v>
      </c>
      <c r="C18" s="7" t="s">
        <v>97</v>
      </c>
      <c r="D18" s="7" t="s">
        <v>98</v>
      </c>
      <c r="E18" s="7" t="s">
        <v>99</v>
      </c>
      <c r="F18" s="6" t="n">
        <v>5</v>
      </c>
      <c r="G18" s="6" t="n">
        <v>5</v>
      </c>
      <c r="H18" s="8" t="n">
        <f aca="false">F18*G18</f>
        <v>25</v>
      </c>
      <c r="I18" s="6" t="str">
        <f aca="false">IF(H18="","",IF(H18&gt;=16,"Critical",IF(H18&gt;=10,"High",IF(H18&gt;=5,"Medium","Low"))))</f>
        <v>Critical</v>
      </c>
      <c r="J18" s="7" t="s">
        <v>100</v>
      </c>
      <c r="K18" s="7" t="s">
        <v>101</v>
      </c>
      <c r="L18" s="7" t="s">
        <v>102</v>
      </c>
      <c r="M18" s="6" t="s">
        <v>25</v>
      </c>
      <c r="N18" s="9" t="s">
        <v>103</v>
      </c>
    </row>
    <row r="19" customFormat="false" ht="45.75" hidden="false" customHeight="true" outlineLevel="0" collapsed="false">
      <c r="A19" s="10" t="s">
        <v>104</v>
      </c>
      <c r="B19" s="11" t="s">
        <v>18</v>
      </c>
      <c r="C19" s="11" t="s">
        <v>105</v>
      </c>
      <c r="D19" s="11" t="s">
        <v>106</v>
      </c>
      <c r="E19" s="11" t="s">
        <v>107</v>
      </c>
      <c r="F19" s="10" t="n">
        <v>3</v>
      </c>
      <c r="G19" s="10" t="n">
        <v>3</v>
      </c>
      <c r="H19" s="12" t="n">
        <f aca="false">F19*G19</f>
        <v>9</v>
      </c>
      <c r="I19" s="10" t="str">
        <f aca="false">IF(H19="","",IF(H19&gt;=16,"Critical",IF(H19&gt;=10,"High",IF(H19&gt;=5,"Medium","Low"))))</f>
        <v>Medium</v>
      </c>
      <c r="J19" s="11" t="s">
        <v>81</v>
      </c>
      <c r="K19" s="11" t="s">
        <v>108</v>
      </c>
      <c r="L19" s="11" t="s">
        <v>24</v>
      </c>
      <c r="M19" s="10" t="s">
        <v>25</v>
      </c>
      <c r="N19" s="13" t="s">
        <v>47</v>
      </c>
    </row>
    <row r="20" customFormat="false" ht="45.75" hidden="false" customHeight="true" outlineLevel="0" collapsed="false">
      <c r="A20" s="6" t="s">
        <v>109</v>
      </c>
      <c r="B20" s="7" t="s">
        <v>18</v>
      </c>
      <c r="C20" s="7" t="s">
        <v>110</v>
      </c>
      <c r="D20" s="7" t="s">
        <v>111</v>
      </c>
      <c r="E20" s="7" t="s">
        <v>112</v>
      </c>
      <c r="F20" s="6" t="n">
        <v>4</v>
      </c>
      <c r="G20" s="6" t="n">
        <v>5</v>
      </c>
      <c r="H20" s="8" t="n">
        <f aca="false">F20*G20</f>
        <v>20</v>
      </c>
      <c r="I20" s="6" t="str">
        <f aca="false">IF(H20="","",IF(H20&gt;=16,"Critical",IF(H20&gt;=10,"High",IF(H20&gt;=5,"Medium","Low"))))</f>
        <v>Critical</v>
      </c>
      <c r="J20" s="7" t="s">
        <v>57</v>
      </c>
      <c r="K20" s="7" t="s">
        <v>113</v>
      </c>
      <c r="L20" s="7" t="s">
        <v>24</v>
      </c>
      <c r="M20" s="6" t="s">
        <v>25</v>
      </c>
      <c r="N20" s="9" t="s">
        <v>114</v>
      </c>
    </row>
    <row r="21" customFormat="false" ht="45.75" hidden="false" customHeight="true" outlineLevel="0" collapsed="false">
      <c r="A21" s="10" t="s">
        <v>115</v>
      </c>
      <c r="B21" s="11" t="s">
        <v>18</v>
      </c>
      <c r="C21" s="11" t="s">
        <v>116</v>
      </c>
      <c r="D21" s="11" t="s">
        <v>117</v>
      </c>
      <c r="E21" s="11" t="s">
        <v>118</v>
      </c>
      <c r="F21" s="10" t="n">
        <v>3</v>
      </c>
      <c r="G21" s="10" t="n">
        <v>3</v>
      </c>
      <c r="H21" s="12" t="n">
        <f aca="false">F21*G21</f>
        <v>9</v>
      </c>
      <c r="I21" s="10" t="str">
        <f aca="false">IF(H21="","",IF(H21&gt;=16,"Critical",IF(H21&gt;=10,"High",IF(H21&gt;=5,"Medium","Low"))))</f>
        <v>Medium</v>
      </c>
      <c r="J21" s="11" t="s">
        <v>38</v>
      </c>
      <c r="K21" s="11" t="s">
        <v>119</v>
      </c>
      <c r="L21" s="11" t="s">
        <v>24</v>
      </c>
      <c r="M21" s="10" t="s">
        <v>25</v>
      </c>
      <c r="N21" s="13" t="s">
        <v>120</v>
      </c>
    </row>
    <row r="22" customFormat="false" ht="45.75" hidden="false" customHeight="true" outlineLevel="0" collapsed="false">
      <c r="A22" s="6" t="s">
        <v>121</v>
      </c>
      <c r="B22" s="7" t="s">
        <v>18</v>
      </c>
      <c r="C22" s="7" t="s">
        <v>122</v>
      </c>
      <c r="D22" s="7" t="s">
        <v>123</v>
      </c>
      <c r="E22" s="7" t="s">
        <v>124</v>
      </c>
      <c r="F22" s="6" t="n">
        <v>3</v>
      </c>
      <c r="G22" s="6" t="n">
        <v>3</v>
      </c>
      <c r="H22" s="8" t="n">
        <f aca="false">F22*G22</f>
        <v>9</v>
      </c>
      <c r="I22" s="6" t="str">
        <f aca="false">IF(H22="","",IF(H22&gt;=16,"Critical",IF(H22&gt;=10,"High",IF(H22&gt;=5,"Medium","Low"))))</f>
        <v>Medium</v>
      </c>
      <c r="J22" s="7" t="s">
        <v>38</v>
      </c>
      <c r="K22" s="7" t="s">
        <v>125</v>
      </c>
      <c r="L22" s="7" t="s">
        <v>24</v>
      </c>
      <c r="M22" s="6" t="s">
        <v>25</v>
      </c>
      <c r="N22" s="9" t="s">
        <v>126</v>
      </c>
    </row>
    <row r="23" customFormat="false" ht="45.75" hidden="false" customHeight="true" outlineLevel="0" collapsed="false">
      <c r="A23" s="10" t="s">
        <v>127</v>
      </c>
      <c r="B23" s="11" t="s">
        <v>18</v>
      </c>
      <c r="C23" s="11" t="s">
        <v>128</v>
      </c>
      <c r="D23" s="11" t="s">
        <v>129</v>
      </c>
      <c r="E23" s="11" t="s">
        <v>130</v>
      </c>
      <c r="F23" s="10" t="n">
        <v>3</v>
      </c>
      <c r="G23" s="10" t="n">
        <v>4</v>
      </c>
      <c r="H23" s="12" t="n">
        <f aca="false">F23*G23</f>
        <v>12</v>
      </c>
      <c r="I23" s="10" t="str">
        <f aca="false">IF(H23="","",IF(H23&gt;=16,"Critical",IF(H23&gt;=10,"High",IF(H23&gt;=5,"Medium","Low"))))</f>
        <v>High</v>
      </c>
      <c r="J23" s="11" t="s">
        <v>38</v>
      </c>
      <c r="K23" s="11" t="s">
        <v>131</v>
      </c>
      <c r="L23" s="11" t="s">
        <v>24</v>
      </c>
      <c r="M23" s="10" t="s">
        <v>25</v>
      </c>
      <c r="N23" s="13" t="s">
        <v>132</v>
      </c>
    </row>
    <row r="24" customFormat="false" ht="45.75" hidden="false" customHeight="true" outlineLevel="0" collapsed="false">
      <c r="A24" s="6" t="s">
        <v>133</v>
      </c>
      <c r="B24" s="7" t="s">
        <v>18</v>
      </c>
      <c r="C24" s="7" t="s">
        <v>134</v>
      </c>
      <c r="D24" s="7" t="s">
        <v>135</v>
      </c>
      <c r="E24" s="7" t="s">
        <v>136</v>
      </c>
      <c r="F24" s="6" t="n">
        <v>3</v>
      </c>
      <c r="G24" s="6" t="n">
        <v>3</v>
      </c>
      <c r="H24" s="8" t="n">
        <f aca="false">F24*G24</f>
        <v>9</v>
      </c>
      <c r="I24" s="6" t="str">
        <f aca="false">IF(H24="","",IF(H24&gt;=16,"Critical",IF(H24&gt;=10,"High",IF(H24&gt;=5,"Medium","Low"))))</f>
        <v>Medium</v>
      </c>
      <c r="J24" s="7" t="s">
        <v>137</v>
      </c>
      <c r="K24" s="7" t="s">
        <v>138</v>
      </c>
      <c r="L24" s="7" t="s">
        <v>24</v>
      </c>
      <c r="M24" s="6" t="s">
        <v>25</v>
      </c>
      <c r="N24" s="9" t="s">
        <v>139</v>
      </c>
    </row>
    <row r="25" customFormat="false" ht="45.75" hidden="false" customHeight="true" outlineLevel="0" collapsed="false">
      <c r="A25" s="10" t="s">
        <v>140</v>
      </c>
      <c r="B25" s="11" t="s">
        <v>18</v>
      </c>
      <c r="C25" s="11" t="s">
        <v>141</v>
      </c>
      <c r="D25" s="11" t="s">
        <v>142</v>
      </c>
      <c r="E25" s="11" t="s">
        <v>143</v>
      </c>
      <c r="F25" s="10" t="n">
        <v>3</v>
      </c>
      <c r="G25" s="10" t="n">
        <v>3</v>
      </c>
      <c r="H25" s="12" t="n">
        <f aca="false">F25*G25</f>
        <v>9</v>
      </c>
      <c r="I25" s="10" t="str">
        <f aca="false">IF(H25="","",IF(H25&gt;=16,"Critical",IF(H25&gt;=10,"High",IF(H25&gt;=5,"Medium","Low"))))</f>
        <v>Medium</v>
      </c>
      <c r="J25" s="11" t="s">
        <v>22</v>
      </c>
      <c r="K25" s="11" t="s">
        <v>144</v>
      </c>
      <c r="L25" s="11" t="s">
        <v>145</v>
      </c>
      <c r="M25" s="10" t="s">
        <v>25</v>
      </c>
      <c r="N25" s="13" t="s">
        <v>146</v>
      </c>
    </row>
    <row r="26" customFormat="false" ht="45.75" hidden="false" customHeight="true" outlineLevel="0" collapsed="false">
      <c r="A26" s="6" t="s">
        <v>147</v>
      </c>
      <c r="B26" s="7" t="s">
        <v>18</v>
      </c>
      <c r="C26" s="7" t="s">
        <v>148</v>
      </c>
      <c r="D26" s="7" t="s">
        <v>149</v>
      </c>
      <c r="E26" s="7" t="s">
        <v>150</v>
      </c>
      <c r="F26" s="6" t="n">
        <v>2</v>
      </c>
      <c r="G26" s="6" t="n">
        <v>2</v>
      </c>
      <c r="H26" s="8" t="n">
        <f aca="false">F26*G26</f>
        <v>4</v>
      </c>
      <c r="I26" s="6" t="str">
        <f aca="false">IF(H26="","",IF(H26&gt;=16,"Critical",IF(H26&gt;=10,"High",IF(H26&gt;=5,"Medium","Low"))))</f>
        <v>Low</v>
      </c>
      <c r="J26" s="7" t="s">
        <v>22</v>
      </c>
      <c r="K26" s="7" t="s">
        <v>151</v>
      </c>
      <c r="L26" s="7" t="s">
        <v>145</v>
      </c>
      <c r="M26" s="6" t="s">
        <v>25</v>
      </c>
      <c r="N26" s="9" t="s">
        <v>152</v>
      </c>
    </row>
    <row r="27" customFormat="false" ht="39.75" hidden="false" customHeight="true" outlineLevel="0" collapsed="false">
      <c r="A27" s="6"/>
      <c r="B27" s="7"/>
      <c r="C27" s="7"/>
      <c r="D27" s="7"/>
      <c r="E27" s="7"/>
      <c r="F27" s="6"/>
      <c r="G27" s="6"/>
      <c r="H27" s="6" t="str">
        <f aca="false">IF(OR(F27="",G27=""),"",F27*G27)</f>
        <v/>
      </c>
      <c r="I27" s="6" t="str">
        <f aca="false">IF(H27="","",IF(H27&gt;=16,"Critical",IF(H27&gt;=10,"High",IF(H27&gt;=5,"Medium","Low"))))</f>
        <v/>
      </c>
      <c r="J27" s="7"/>
      <c r="K27" s="7"/>
      <c r="L27" s="7"/>
      <c r="M27" s="6"/>
    </row>
    <row r="28" customFormat="false" ht="39.75" hidden="false" customHeight="true" outlineLevel="0" collapsed="false">
      <c r="A28" s="6"/>
      <c r="B28" s="7"/>
      <c r="C28" s="7"/>
      <c r="D28" s="7"/>
      <c r="E28" s="7"/>
      <c r="F28" s="6"/>
      <c r="G28" s="6"/>
      <c r="H28" s="6" t="str">
        <f aca="false">IF(OR(F28="",G28=""),"",F28*G28)</f>
        <v/>
      </c>
      <c r="I28" s="6" t="str">
        <f aca="false">IF(H28="","",IF(H28&gt;=16,"Critical",IF(H28&gt;=10,"High",IF(H28&gt;=5,"Medium","Low"))))</f>
        <v/>
      </c>
      <c r="J28" s="7"/>
      <c r="K28" s="7"/>
      <c r="L28" s="7"/>
      <c r="M28" s="6"/>
    </row>
    <row r="29" customFormat="false" ht="39.75" hidden="false" customHeight="true" outlineLevel="0" collapsed="false">
      <c r="A29" s="6"/>
      <c r="B29" s="7"/>
      <c r="C29" s="7"/>
      <c r="D29" s="7"/>
      <c r="E29" s="7"/>
      <c r="F29" s="6"/>
      <c r="G29" s="6"/>
      <c r="H29" s="6" t="str">
        <f aca="false">IF(OR(F29="",G29=""),"",F29*G29)</f>
        <v/>
      </c>
      <c r="I29" s="6" t="str">
        <f aca="false">IF(H29="","",IF(H29&gt;=16,"Critical",IF(H29&gt;=10,"High",IF(H29&gt;=5,"Medium","Low"))))</f>
        <v/>
      </c>
      <c r="J29" s="7"/>
      <c r="K29" s="7"/>
      <c r="L29" s="7"/>
      <c r="M29" s="6"/>
    </row>
    <row r="30" customFormat="false" ht="39.75" hidden="false" customHeight="true" outlineLevel="0" collapsed="false">
      <c r="A30" s="6"/>
      <c r="B30" s="7"/>
      <c r="C30" s="7"/>
      <c r="D30" s="7"/>
      <c r="E30" s="7"/>
      <c r="F30" s="6"/>
      <c r="G30" s="6"/>
      <c r="H30" s="6" t="str">
        <f aca="false">IF(OR(F30="",G30=""),"",F30*G30)</f>
        <v/>
      </c>
      <c r="I30" s="6" t="str">
        <f aca="false">IF(H30="","",IF(H30&gt;=16,"Critical",IF(H30&gt;=10,"High",IF(H30&gt;=5,"Medium","Low"))))</f>
        <v/>
      </c>
      <c r="J30" s="7"/>
      <c r="K30" s="7"/>
      <c r="L30" s="7"/>
      <c r="M30" s="6"/>
    </row>
    <row r="31" customFormat="false" ht="39.75" hidden="false" customHeight="true" outlineLevel="0" collapsed="false">
      <c r="A31" s="6"/>
      <c r="B31" s="7"/>
      <c r="C31" s="7"/>
      <c r="D31" s="7"/>
      <c r="E31" s="7"/>
      <c r="F31" s="6"/>
      <c r="G31" s="6"/>
      <c r="H31" s="6" t="str">
        <f aca="false">IF(OR(F31="",G31=""),"",F31*G31)</f>
        <v/>
      </c>
      <c r="I31" s="6" t="str">
        <f aca="false">IF(H31="","",IF(H31&gt;=16,"Critical",IF(H31&gt;=10,"High",IF(H31&gt;=5,"Medium","Low"))))</f>
        <v/>
      </c>
      <c r="J31" s="7"/>
      <c r="K31" s="7"/>
      <c r="L31" s="7"/>
      <c r="M31" s="6"/>
    </row>
    <row r="32" customFormat="false" ht="39.75" hidden="false" customHeight="true" outlineLevel="0" collapsed="false">
      <c r="A32" s="6"/>
      <c r="B32" s="7"/>
      <c r="C32" s="7"/>
      <c r="D32" s="7"/>
      <c r="E32" s="7"/>
      <c r="F32" s="6"/>
      <c r="G32" s="6"/>
      <c r="H32" s="6" t="str">
        <f aca="false">IF(OR(F32="",G32=""),"",F32*G32)</f>
        <v/>
      </c>
      <c r="I32" s="6" t="str">
        <f aca="false">IF(H32="","",IF(H32&gt;=16,"Critical",IF(H32&gt;=10,"High",IF(H32&gt;=5,"Medium","Low"))))</f>
        <v/>
      </c>
      <c r="J32" s="7"/>
      <c r="K32" s="7"/>
      <c r="L32" s="7"/>
      <c r="M32" s="6"/>
    </row>
    <row r="33" customFormat="false" ht="39.75" hidden="false" customHeight="true" outlineLevel="0" collapsed="false">
      <c r="A33" s="6"/>
      <c r="B33" s="7"/>
      <c r="C33" s="7"/>
      <c r="D33" s="7"/>
      <c r="E33" s="7"/>
      <c r="F33" s="6"/>
      <c r="G33" s="6"/>
      <c r="H33" s="6" t="str">
        <f aca="false">IF(OR(F33="",G33=""),"",F33*G33)</f>
        <v/>
      </c>
      <c r="I33" s="6" t="str">
        <f aca="false">IF(H33="","",IF(H33&gt;=16,"Critical",IF(H33&gt;=10,"High",IF(H33&gt;=5,"Medium","Low"))))</f>
        <v/>
      </c>
      <c r="J33" s="7"/>
      <c r="K33" s="7"/>
      <c r="L33" s="7"/>
      <c r="M33" s="6"/>
    </row>
    <row r="34" customFormat="false" ht="39.75" hidden="false" customHeight="true" outlineLevel="0" collapsed="false">
      <c r="A34" s="6"/>
      <c r="B34" s="7"/>
      <c r="C34" s="7"/>
      <c r="D34" s="7"/>
      <c r="E34" s="7"/>
      <c r="F34" s="6"/>
      <c r="G34" s="6"/>
      <c r="H34" s="6" t="str">
        <f aca="false">IF(OR(F34="",G34=""),"",F34*G34)</f>
        <v/>
      </c>
      <c r="I34" s="6" t="str">
        <f aca="false">IF(H34="","",IF(H34&gt;=16,"Critical",IF(H34&gt;=10,"High",IF(H34&gt;=5,"Medium","Low"))))</f>
        <v/>
      </c>
      <c r="J34" s="7"/>
      <c r="K34" s="7"/>
      <c r="L34" s="7"/>
      <c r="M34" s="6"/>
    </row>
    <row r="35" customFormat="false" ht="39.75" hidden="false" customHeight="true" outlineLevel="0" collapsed="false">
      <c r="A35" s="6"/>
      <c r="B35" s="7"/>
      <c r="C35" s="7"/>
      <c r="D35" s="7"/>
      <c r="E35" s="7"/>
      <c r="F35" s="6"/>
      <c r="G35" s="6"/>
      <c r="H35" s="6" t="str">
        <f aca="false">IF(OR(F35="",G35=""),"",F35*G35)</f>
        <v/>
      </c>
      <c r="I35" s="6" t="str">
        <f aca="false">IF(H35="","",IF(H35&gt;=16,"Critical",IF(H35&gt;=10,"High",IF(H35&gt;=5,"Medium","Low"))))</f>
        <v/>
      </c>
      <c r="J35" s="7"/>
      <c r="K35" s="7"/>
      <c r="L35" s="7"/>
      <c r="M35" s="6"/>
    </row>
    <row r="36" customFormat="false" ht="39.75" hidden="false" customHeight="true" outlineLevel="0" collapsed="false">
      <c r="A36" s="6"/>
      <c r="B36" s="7"/>
      <c r="C36" s="7"/>
      <c r="D36" s="7"/>
      <c r="E36" s="7"/>
      <c r="F36" s="6"/>
      <c r="G36" s="6"/>
      <c r="H36" s="6" t="str">
        <f aca="false">IF(OR(F36="",G36=""),"",F36*G36)</f>
        <v/>
      </c>
      <c r="I36" s="6" t="str">
        <f aca="false">IF(H36="","",IF(H36&gt;=16,"Critical",IF(H36&gt;=10,"High",IF(H36&gt;=5,"Medium","Low"))))</f>
        <v/>
      </c>
      <c r="J36" s="7"/>
      <c r="K36" s="7"/>
      <c r="L36" s="7"/>
      <c r="M36" s="6"/>
    </row>
    <row r="37" customFormat="false" ht="39.75" hidden="false" customHeight="true" outlineLevel="0" collapsed="false">
      <c r="A37" s="6"/>
      <c r="B37" s="7"/>
      <c r="C37" s="7"/>
      <c r="D37" s="7"/>
      <c r="E37" s="7"/>
      <c r="F37" s="6"/>
      <c r="G37" s="6"/>
      <c r="H37" s="6" t="str">
        <f aca="false">IF(OR(F37="",G37=""),"",F37*G37)</f>
        <v/>
      </c>
      <c r="I37" s="6" t="str">
        <f aca="false">IF(H37="","",IF(H37&gt;=16,"Critical",IF(H37&gt;=10,"High",IF(H37&gt;=5,"Medium","Low"))))</f>
        <v/>
      </c>
      <c r="J37" s="7"/>
      <c r="K37" s="7"/>
      <c r="L37" s="7"/>
      <c r="M37" s="6"/>
    </row>
    <row r="38" customFormat="false" ht="39.75" hidden="false" customHeight="true" outlineLevel="0" collapsed="false">
      <c r="A38" s="6"/>
      <c r="B38" s="7"/>
      <c r="C38" s="7"/>
      <c r="D38" s="7"/>
      <c r="E38" s="7"/>
      <c r="F38" s="6"/>
      <c r="G38" s="6"/>
      <c r="H38" s="6" t="str">
        <f aca="false">IF(OR(F38="",G38=""),"",F38*G38)</f>
        <v/>
      </c>
      <c r="I38" s="6" t="str">
        <f aca="false">IF(H38="","",IF(H38&gt;=16,"Critical",IF(H38&gt;=10,"High",IF(H38&gt;=5,"Medium","Low"))))</f>
        <v/>
      </c>
      <c r="J38" s="7"/>
      <c r="K38" s="7"/>
      <c r="L38" s="7"/>
      <c r="M38" s="6"/>
    </row>
    <row r="39" customFormat="false" ht="39.75" hidden="false" customHeight="true" outlineLevel="0" collapsed="false">
      <c r="A39" s="6"/>
      <c r="B39" s="7"/>
      <c r="C39" s="7"/>
      <c r="D39" s="7"/>
      <c r="E39" s="7"/>
      <c r="F39" s="6"/>
      <c r="G39" s="6"/>
      <c r="H39" s="6" t="str">
        <f aca="false">IF(OR(F39="",G39=""),"",F39*G39)</f>
        <v/>
      </c>
      <c r="I39" s="6" t="str">
        <f aca="false">IF(H39="","",IF(H39&gt;=16,"Critical",IF(H39&gt;=10,"High",IF(H39&gt;=5,"Medium","Low"))))</f>
        <v/>
      </c>
      <c r="J39" s="7"/>
      <c r="K39" s="7"/>
      <c r="L39" s="7"/>
      <c r="M39" s="6"/>
    </row>
  </sheetData>
  <mergeCells count="3">
    <mergeCell ref="A1:M1"/>
    <mergeCell ref="A2:M2"/>
    <mergeCell ref="A3:M3"/>
  </mergeCells>
  <conditionalFormatting sqref="I6:I19">
    <cfRule type="expression" priority="2" aboveAverage="0" equalAverage="0" bottom="0" percent="0" rank="0" text="" dxfId="0">
      <formula>$I6="Critical"</formula>
    </cfRule>
    <cfRule type="expression" priority="3" aboveAverage="0" equalAverage="0" bottom="0" percent="0" rank="0" text="" dxfId="1">
      <formula>$I6="High"</formula>
    </cfRule>
    <cfRule type="expression" priority="4" aboveAverage="0" equalAverage="0" bottom="0" percent="0" rank="0" text="" dxfId="2">
      <formula>$I6="Medium"</formula>
    </cfRule>
    <cfRule type="expression" priority="5" aboveAverage="0" equalAverage="0" bottom="0" percent="0" rank="0" text="" dxfId="3">
      <formula>$I6="Low"</formula>
    </cfRule>
  </conditionalFormatting>
  <conditionalFormatting sqref="H6:H19">
    <cfRule type="expression" priority="6" aboveAverage="0" equalAverage="0" bottom="0" percent="0" rank="0" text="" dxfId="4">
      <formula>$H6&gt;=16</formula>
    </cfRule>
    <cfRule type="expression" priority="7" aboveAverage="0" equalAverage="0" bottom="0" percent="0" rank="0" text="" dxfId="5">
      <formula>AND($H6&gt;=10,$H6&lt;16)</formula>
    </cfRule>
    <cfRule type="expression" priority="8" aboveAverage="0" equalAverage="0" bottom="0" percent="0" rank="0" text="" dxfId="6">
      <formula>AND($H6&gt;=5,$H6&lt;10)</formula>
    </cfRule>
    <cfRule type="expression" priority="9" aboveAverage="0" equalAverage="0" bottom="0" percent="0" rank="0" text="" dxfId="7">
      <formula>AND($H6&gt;=1,$H6&lt;5)</formula>
    </cfRule>
  </conditionalFormatting>
  <conditionalFormatting sqref="I20:I39">
    <cfRule type="expression" priority="10" aboveAverage="0" equalAverage="0" bottom="0" percent="0" rank="0" text="" dxfId="0">
      <formula>$I20="Critical"</formula>
    </cfRule>
    <cfRule type="expression" priority="11" aboveAverage="0" equalAverage="0" bottom="0" percent="0" rank="0" text="" dxfId="1">
      <formula>$I20="High"</formula>
    </cfRule>
    <cfRule type="expression" priority="12" aboveAverage="0" equalAverage="0" bottom="0" percent="0" rank="0" text="" dxfId="2">
      <formula>$I20="Medium"</formula>
    </cfRule>
    <cfRule type="expression" priority="13" aboveAverage="0" equalAverage="0" bottom="0" percent="0" rank="0" text="" dxfId="3">
      <formula>$I20="Low"</formula>
    </cfRule>
  </conditionalFormatting>
  <conditionalFormatting sqref="I6:I26">
    <cfRule type="expression" priority="14" aboveAverage="0" equalAverage="0" bottom="0" percent="0" rank="0" text="" dxfId="0">
      <formula>$I6="Critical"</formula>
    </cfRule>
    <cfRule type="expression" priority="15" aboveAverage="0" equalAverage="0" bottom="0" percent="0" rank="0" text="" dxfId="1">
      <formula>$I6="High"</formula>
    </cfRule>
    <cfRule type="expression" priority="16" aboveAverage="0" equalAverage="0" bottom="0" percent="0" rank="0" text="" dxfId="2">
      <formula>$I6="Medium"</formula>
    </cfRule>
    <cfRule type="expression" priority="17" aboveAverage="0" equalAverage="0" bottom="0" percent="0" rank="0" text="" dxfId="3">
      <formula>$I6="Low"</formula>
    </cfRule>
  </conditionalFormatting>
  <conditionalFormatting sqref="H6:H26">
    <cfRule type="expression" priority="18" aboveAverage="0" equalAverage="0" bottom="0" percent="0" rank="0" text="" dxfId="4">
      <formula>$H6&gt;=16</formula>
    </cfRule>
    <cfRule type="expression" priority="19" aboveAverage="0" equalAverage="0" bottom="0" percent="0" rank="0" text="" dxfId="5">
      <formula>AND($H6&gt;=10,$H6&lt;16)</formula>
    </cfRule>
    <cfRule type="expression" priority="20" aboveAverage="0" equalAverage="0" bottom="0" percent="0" rank="0" text="" dxfId="6">
      <formula>AND($H6&gt;=5,$H6&lt;10)</formula>
    </cfRule>
    <cfRule type="expression" priority="21" aboveAverage="0" equalAverage="0" bottom="0" percent="0" rank="0" text="" dxfId="7">
      <formula>AND($H6&gt;=1,$H6&lt;5)</formula>
    </cfRule>
  </conditionalFormatting>
  <dataValidations count="4">
    <dataValidation allowBlank="true" errorStyle="stop" operator="between" showDropDown="false" showErrorMessage="false" showInputMessage="false" sqref="F6:G19 F27:G39" type="list">
      <formula1>"1,2,3,4,5"</formula1>
      <formula2>0</formula2>
    </dataValidation>
    <dataValidation allowBlank="true" errorStyle="stop" operator="between" showDropDown="false" showErrorMessage="false" showInputMessage="false" sqref="M6:M19 M27:M39" type="list">
      <formula1>"Open,In Progress,Mitigated,Accepted,Closed"</formula1>
      <formula2>0</formula2>
    </dataValidation>
    <dataValidation allowBlank="true" errorStyle="stop" operator="between" showDropDown="false" showErrorMessage="false" showInputMessage="false" sqref="F20:G26" type="list">
      <formula1>"1,2,3,4,5"</formula1>
      <formula2>0</formula2>
    </dataValidation>
    <dataValidation allowBlank="true" errorStyle="stop" operator="between" showDropDown="false" showErrorMessage="false" showInputMessage="false" sqref="M20:M26" type="list">
      <formula1>"Open,In Progress,Mitigated,Accepted,Closed"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7" min="4" style="1" width="14"/>
  </cols>
  <sheetData>
    <row r="1" customFormat="false" ht="30" hidden="false" customHeight="true" outlineLevel="0" collapsed="false">
      <c r="B1" s="14" t="s">
        <v>153</v>
      </c>
      <c r="C1" s="14"/>
      <c r="D1" s="14"/>
      <c r="E1" s="14"/>
      <c r="F1" s="14"/>
      <c r="G1" s="14"/>
    </row>
    <row r="3" customFormat="false" ht="15" hidden="false" customHeight="true" outlineLevel="0" collapsed="false">
      <c r="B3" s="15" t="s">
        <v>154</v>
      </c>
      <c r="E3" s="15" t="s">
        <v>155</v>
      </c>
    </row>
    <row r="4" customFormat="false" ht="15" hidden="false" customHeight="true" outlineLevel="0" collapsed="false">
      <c r="B4" s="16" t="s">
        <v>156</v>
      </c>
      <c r="C4" s="17" t="s">
        <v>157</v>
      </c>
      <c r="E4" s="18" t="s">
        <v>158</v>
      </c>
      <c r="F4" s="18" t="s">
        <v>159</v>
      </c>
    </row>
    <row r="5" customFormat="false" ht="15" hidden="false" customHeight="true" outlineLevel="0" collapsed="false">
      <c r="B5" s="16" t="s">
        <v>160</v>
      </c>
      <c r="C5" s="17" t="s">
        <v>161</v>
      </c>
      <c r="E5" s="19" t="s">
        <v>162</v>
      </c>
      <c r="F5" s="16" t="n">
        <f aca="false">COUNTIF('Risk Register'!$I:$I,E5)</f>
        <v>11</v>
      </c>
    </row>
    <row r="6" customFormat="false" ht="15" hidden="false" customHeight="true" outlineLevel="0" collapsed="false">
      <c r="B6" s="16" t="s">
        <v>163</v>
      </c>
      <c r="C6" s="17" t="s">
        <v>164</v>
      </c>
      <c r="E6" s="20" t="s">
        <v>165</v>
      </c>
      <c r="F6" s="16" t="n">
        <f aca="false">COUNTIF('Risk Register'!$I:$I,E6)</f>
        <v>4</v>
      </c>
    </row>
    <row r="7" customFormat="false" ht="15" hidden="false" customHeight="true" outlineLevel="0" collapsed="false">
      <c r="B7" s="16" t="s">
        <v>166</v>
      </c>
      <c r="C7" s="17" t="s">
        <v>167</v>
      </c>
      <c r="E7" s="21" t="s">
        <v>168</v>
      </c>
      <c r="F7" s="16" t="n">
        <f aca="false">COUNTIF('Risk Register'!$I:$I,E7)</f>
        <v>5</v>
      </c>
    </row>
    <row r="8" customFormat="false" ht="15" hidden="false" customHeight="true" outlineLevel="0" collapsed="false">
      <c r="B8" s="16" t="s">
        <v>169</v>
      </c>
      <c r="C8" s="17" t="s">
        <v>170</v>
      </c>
      <c r="E8" s="22" t="s">
        <v>171</v>
      </c>
      <c r="F8" s="16" t="n">
        <f aca="false">COUNTIF('Risk Register'!$I:$I,E8)</f>
        <v>1</v>
      </c>
    </row>
    <row r="9" customFormat="false" ht="15" hidden="false" customHeight="true" outlineLevel="0" collapsed="false">
      <c r="E9" s="18" t="s">
        <v>172</v>
      </c>
      <c r="F9" s="18" t="n">
        <f aca="false">SUM(F5:F8)</f>
        <v>21</v>
      </c>
    </row>
    <row r="10" customFormat="false" ht="15" hidden="false" customHeight="true" outlineLevel="0" collapsed="false">
      <c r="B10" s="15" t="s">
        <v>173</v>
      </c>
    </row>
    <row r="11" customFormat="false" ht="15" hidden="false" customHeight="true" outlineLevel="0" collapsed="false">
      <c r="B11" s="16" t="s">
        <v>156</v>
      </c>
      <c r="C11" s="17" t="s">
        <v>174</v>
      </c>
      <c r="E11" s="23"/>
      <c r="F11" s="24"/>
      <c r="G11" s="24"/>
    </row>
    <row r="12" customFormat="false" ht="15" hidden="false" customHeight="true" outlineLevel="0" collapsed="false">
      <c r="B12" s="16" t="s">
        <v>160</v>
      </c>
      <c r="C12" s="17" t="s">
        <v>175</v>
      </c>
      <c r="E12" s="24"/>
      <c r="F12" s="24"/>
      <c r="G12" s="24"/>
    </row>
    <row r="13" customFormat="false" ht="15" hidden="false" customHeight="true" outlineLevel="0" collapsed="false">
      <c r="B13" s="16" t="s">
        <v>163</v>
      </c>
      <c r="C13" s="17" t="s">
        <v>176</v>
      </c>
      <c r="E13" s="24"/>
      <c r="F13" s="24"/>
      <c r="G13" s="24"/>
    </row>
    <row r="14" customFormat="false" ht="15" hidden="false" customHeight="true" outlineLevel="0" collapsed="false">
      <c r="B14" s="16" t="s">
        <v>166</v>
      </c>
      <c r="C14" s="17" t="s">
        <v>177</v>
      </c>
    </row>
    <row r="15" customFormat="false" ht="15" hidden="false" customHeight="true" outlineLevel="0" collapsed="false">
      <c r="B15" s="16" t="s">
        <v>169</v>
      </c>
      <c r="C15" s="17" t="s">
        <v>178</v>
      </c>
    </row>
    <row r="17" customFormat="false" ht="15" hidden="false" customHeight="true" outlineLevel="0" collapsed="false">
      <c r="B17" s="15" t="s">
        <v>179</v>
      </c>
    </row>
    <row r="18" customFormat="false" ht="15" hidden="false" customHeight="true" outlineLevel="0" collapsed="false">
      <c r="B18" s="18" t="s">
        <v>158</v>
      </c>
      <c r="C18" s="18" t="s">
        <v>180</v>
      </c>
    </row>
    <row r="19" customFormat="false" ht="15" hidden="false" customHeight="true" outlineLevel="0" collapsed="false">
      <c r="B19" s="22" t="s">
        <v>171</v>
      </c>
      <c r="C19" s="25" t="s">
        <v>181</v>
      </c>
    </row>
    <row r="20" customFormat="false" ht="15" hidden="false" customHeight="true" outlineLevel="0" collapsed="false">
      <c r="B20" s="21" t="s">
        <v>168</v>
      </c>
      <c r="C20" s="25" t="s">
        <v>182</v>
      </c>
    </row>
    <row r="21" customFormat="false" ht="15" hidden="false" customHeight="true" outlineLevel="0" collapsed="false">
      <c r="B21" s="20" t="s">
        <v>165</v>
      </c>
      <c r="C21" s="25" t="s">
        <v>183</v>
      </c>
    </row>
    <row r="22" customFormat="false" ht="15" hidden="false" customHeight="true" outlineLevel="0" collapsed="false">
      <c r="B22" s="19" t="s">
        <v>162</v>
      </c>
      <c r="C22" s="25" t="s">
        <v>184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2026-10-06T14:39:43Z</dcterms:created>
  <dc:creator>openpyxl</dc:creator>
  <dc:description/>
  <dc:language>en-US</dc:language>
  <cp:lastModifiedBy/>
  <dcterms:modified xsi:type="dcterms:W3CDTF">2026-10-07T18:26:12Z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